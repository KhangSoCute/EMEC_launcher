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bytphuongdong-my.sharepoint.com/personal/technical21_hcm_eastern_vn/Documents/0work/"/>
    </mc:Choice>
  </mc:AlternateContent>
  <xr:revisionPtr revIDLastSave="11" documentId="13_ncr:1_{F2377F9A-F90E-43E4-A4F9-C3BA15B6D27E}" xr6:coauthVersionLast="47" xr6:coauthVersionMax="47" xr10:uidLastSave="{AEFFCAB9-7003-44B9-A532-76D997BCEB70}"/>
  <bookViews>
    <workbookView xWindow="-108" yWindow="-108" windowWidth="23256" windowHeight="12720" xr2:uid="{64DF23CB-706D-4FE5-9D36-9B03DF51E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7" i="1" s="1"/>
  <c r="D11" i="1"/>
  <c r="D12" i="1"/>
  <c r="D13" i="1"/>
  <c r="D14" i="1"/>
  <c r="D15" i="1"/>
  <c r="D16" i="1"/>
  <c r="D6" i="1"/>
</calcChain>
</file>

<file path=xl/sharedStrings.xml><?xml version="1.0" encoding="utf-8"?>
<sst xmlns="http://schemas.openxmlformats.org/spreadsheetml/2006/main" count="69" uniqueCount="57">
  <si>
    <t>HAMILTON VENUS DEMO 2</t>
  </si>
  <si>
    <t>Địa điểm: Kho Long Hậu + Labhouse</t>
  </si>
  <si>
    <t>Thời gian</t>
  </si>
  <si>
    <t>Công việc</t>
  </si>
  <si>
    <t>Nhân Sự</t>
  </si>
  <si>
    <t>Ghi chú</t>
  </si>
  <si>
    <t>Code</t>
  </si>
  <si>
    <t>Tên Hàng</t>
  </si>
  <si>
    <t>c Ái</t>
  </si>
  <si>
    <t>Số lượng</t>
  </si>
  <si>
    <t>SDP0096</t>
  </si>
  <si>
    <t>Nimbus-86 Deep Well Micro Plate</t>
  </si>
  <si>
    <t>Đầu côn bằng nhựa của máy tách chiết tự động thể tích 1000 ul</t>
  </si>
  <si>
    <t>Đầu côn bằng nhựa của máy tách chiết tự động thể tích 300 ul</t>
  </si>
  <si>
    <t>đổi chương trình về chạy tube 1.5 thì không cần tốn DW96?</t>
  </si>
  <si>
    <t>Đơn vị</t>
  </si>
  <si>
    <t>từ từ làm để giảm chi phí</t>
  </si>
  <si>
    <t>Xin mẫu HIV đã tách chiết ở lab</t>
  </si>
  <si>
    <t>Thời gian: 23-24/03/2023</t>
  </si>
  <si>
    <t>Chiều 22/03</t>
  </si>
  <si>
    <t>Sáng 23/03</t>
  </si>
  <si>
    <t>Khang, Sáng</t>
  </si>
  <si>
    <t>Set up máy, chạy test nước</t>
  </si>
  <si>
    <t>Chiều 23/03</t>
  </si>
  <si>
    <t>Đánh giá kết quả và tối ưu chương trình</t>
  </si>
  <si>
    <t>Sáng 24/03</t>
  </si>
  <si>
    <t>Chiều 24/03</t>
  </si>
  <si>
    <t>Chạy mẫu thật lần 1 và chuyển về lab chạy PCR</t>
  </si>
  <si>
    <t>Chạy mẫu thật lần 2 và chuyển về lab chạy PCR</t>
  </si>
  <si>
    <t>C:\Seegene\Protocol</t>
  </si>
  <si>
    <t>quy ước file prln ở</t>
  </si>
  <si>
    <t>C:\Seegene_Method_Setting\plrn</t>
  </si>
  <si>
    <t>qui ước file prcd ở</t>
  </si>
  <si>
    <t>Bộ (5 vỉ/bộ)</t>
  </si>
  <si>
    <t>Bộ (10 chiếc/bộ)</t>
  </si>
  <si>
    <t>173000-075</t>
  </si>
  <si>
    <t>Máy tách chiết acid nucleic tự động STARlet</t>
  </si>
  <si>
    <t>Bộ</t>
  </si>
  <si>
    <t>744300.4.UC384</t>
  </si>
  <si>
    <t>STARMag 96 x 4 Universal Cartridge Kit</t>
  </si>
  <si>
    <t>Hộp</t>
  </si>
  <si>
    <t>Lot: UC9622A02, nhận hàng An Bình sáng 22/03</t>
  </si>
  <si>
    <t>Nhận hàng tai kho sáng 23/03</t>
  </si>
  <si>
    <t>Lot: 2005087, nhận hàng An Bình sáng 22/03</t>
  </si>
  <si>
    <t>kit artus HIV Virus-1 QS RGQ</t>
  </si>
  <si>
    <t>1855095-IVD</t>
  </si>
  <si>
    <t>CFX96™IVD</t>
  </si>
  <si>
    <t>1841000-IVD</t>
  </si>
  <si>
    <t>Bộ gia nhiệt cho máy PCR C1000 Dx</t>
  </si>
  <si>
    <t>artus HBV QS-RGQ Kit</t>
  </si>
  <si>
    <t>Giá tiền</t>
  </si>
  <si>
    <t>B57801</t>
  </si>
  <si>
    <t>Nắp ống PCR 0.1mL</t>
  </si>
  <si>
    <t>B72719</t>
  </si>
  <si>
    <t>Ống PCR 0.1mL</t>
  </si>
  <si>
    <t>Túi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</si>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</sst>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4" fontId="0" fillId="0" borderId="0" xfId="0" applyNumberFormat="1"/>
    <xf numFmtId="4" fontId="0" fillId="0" borderId="1" xfId="0" applyNumberFormat="1" applyBorder="1"/>
    <xf numFmtId="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70DA-02AD-41E5-9637-2635C0200E34}">
  <dimension ref="A1:K22"/>
  <sheetViews>
    <sheetView tabSelected="1" topLeftCell="D2" zoomScale="145" zoomScaleNormal="145" workbookViewId="0">
      <selection activeCell="E10" sqref="E10"/>
    </sheetView>
  </sheetViews>
  <sheetFormatPr defaultRowHeight="14.4" x14ac:dyDescent="0.3"/>
  <cols>
    <col min="1" max="1" width="12.77734375" customWidth="1"/>
    <col min="2" max="2" width="10.88671875" customWidth="1"/>
    <col min="3" max="3" width="40.21875" customWidth="1"/>
    <col min="4" max="4" width="16.109375" style="5" customWidth="1"/>
    <col min="5" max="5" width="15.21875" customWidth="1"/>
    <col min="6" max="6" width="9.5546875" customWidth="1"/>
    <col min="7" max="7" width="16.88671875" customWidth="1"/>
    <col min="8" max="8" width="55.77734375" customWidth="1"/>
    <col min="9" max="9" width="8.6640625" customWidth="1"/>
    <col min="10" max="10" width="18.109375" customWidth="1"/>
    <col min="11" max="11" width="17.33203125" customWidth="1"/>
  </cols>
  <sheetData>
    <row r="1" spans="1:11" x14ac:dyDescent="0.3">
      <c r="A1" t="s">
        <v>0</v>
      </c>
    </row>
    <row r="2" spans="1:11" x14ac:dyDescent="0.3">
      <c r="A2" t="s">
        <v>18</v>
      </c>
    </row>
    <row r="3" spans="1:11" x14ac:dyDescent="0.3">
      <c r="A3" t="s">
        <v>1</v>
      </c>
    </row>
    <row r="5" spans="1:11" x14ac:dyDescent="0.3">
      <c r="A5" t="s">
        <v>2</v>
      </c>
      <c r="B5" t="s">
        <v>4</v>
      </c>
      <c r="C5" t="s">
        <v>3</v>
      </c>
      <c r="D5" s="6" t="s">
        <v>56</v>
      </c>
      <c r="E5" s="2" t="s">
        <v>9</v>
      </c>
      <c r="F5" s="2" t="s">
        <v>50</v>
      </c>
      <c r="G5" s="2" t="s">
        <v>6</v>
      </c>
      <c r="H5" s="2" t="s">
        <v>7</v>
      </c>
      <c r="I5" t="s">
        <v>9</v>
      </c>
      <c r="J5" t="s">
        <v>15</v>
      </c>
      <c r="K5" t="s">
        <v>5</v>
      </c>
    </row>
    <row r="6" spans="1:11" x14ac:dyDescent="0.3">
      <c r="A6" t="s">
        <v>19</v>
      </c>
      <c r="B6" t="s">
        <v>8</v>
      </c>
      <c r="C6" t="s">
        <v>17</v>
      </c>
      <c r="D6" s="6">
        <f>E6*F6</f>
        <v>1632000</v>
      </c>
      <c r="E6" s="2">
        <v>1</v>
      </c>
      <c r="F6" s="2">
        <v>1632000</v>
      </c>
      <c r="G6" s="2" t="s">
        <v>10</v>
      </c>
      <c r="H6" s="2" t="s">
        <v>11</v>
      </c>
      <c r="I6">
        <v>1</v>
      </c>
      <c r="J6" t="s">
        <v>34</v>
      </c>
      <c r="K6" t="s">
        <v>43</v>
      </c>
    </row>
    <row r="7" spans="1:11" x14ac:dyDescent="0.3">
      <c r="A7" t="s">
        <v>20</v>
      </c>
      <c r="B7" t="s">
        <v>21</v>
      </c>
      <c r="C7" t="s">
        <v>22</v>
      </c>
      <c r="D7" s="6">
        <f t="shared" ref="D7:D16" si="0">E7*F7</f>
        <v>6714000</v>
      </c>
      <c r="E7" s="2">
        <v>2</v>
      </c>
      <c r="F7" s="2">
        <v>3357000</v>
      </c>
      <c r="G7" s="2">
        <v>235905</v>
      </c>
      <c r="H7" s="2" t="s">
        <v>12</v>
      </c>
      <c r="I7">
        <v>1</v>
      </c>
      <c r="J7" t="s">
        <v>33</v>
      </c>
      <c r="K7" t="s">
        <v>42</v>
      </c>
    </row>
    <row r="8" spans="1:11" x14ac:dyDescent="0.3">
      <c r="A8" t="s">
        <v>23</v>
      </c>
      <c r="B8" t="s">
        <v>8</v>
      </c>
      <c r="C8" t="s">
        <v>27</v>
      </c>
      <c r="D8" s="6">
        <f t="shared" si="0"/>
        <v>3062000</v>
      </c>
      <c r="E8" s="2">
        <v>1</v>
      </c>
      <c r="F8" s="2">
        <v>3062000</v>
      </c>
      <c r="G8" s="2">
        <v>235903</v>
      </c>
      <c r="H8" s="2" t="s">
        <v>13</v>
      </c>
      <c r="I8">
        <v>1</v>
      </c>
      <c r="J8" t="s">
        <v>33</v>
      </c>
      <c r="K8" t="s">
        <v>42</v>
      </c>
    </row>
    <row r="9" spans="1:11" x14ac:dyDescent="0.3">
      <c r="A9" t="s">
        <v>25</v>
      </c>
      <c r="B9" t="s">
        <v>21</v>
      </c>
      <c r="C9" t="s">
        <v>24</v>
      </c>
      <c r="D9" s="6">
        <f t="shared" si="0"/>
        <v>0</v>
      </c>
      <c r="E9" s="2"/>
      <c r="F9" s="2"/>
      <c r="G9" s="2" t="s">
        <v>35</v>
      </c>
      <c r="H9" s="2" t="s">
        <v>36</v>
      </c>
      <c r="I9">
        <v>1</v>
      </c>
      <c r="J9" t="s">
        <v>37</v>
      </c>
      <c r="K9" t="s">
        <v>42</v>
      </c>
    </row>
    <row r="10" spans="1:11" s="1" customFormat="1" x14ac:dyDescent="0.3">
      <c r="A10" s="1" t="s">
        <v>26</v>
      </c>
      <c r="B10" s="1" t="s">
        <v>8</v>
      </c>
      <c r="C10" s="1" t="s">
        <v>28</v>
      </c>
      <c r="D10" s="7">
        <f t="shared" si="0"/>
        <v>29049000</v>
      </c>
      <c r="E10" s="4">
        <v>1</v>
      </c>
      <c r="F10" s="4">
        <v>29049000</v>
      </c>
      <c r="G10" s="4" t="s">
        <v>38</v>
      </c>
      <c r="H10" s="4" t="s">
        <v>39</v>
      </c>
      <c r="I10" s="1">
        <v>1</v>
      </c>
      <c r="J10" s="1" t="s">
        <v>40</v>
      </c>
      <c r="K10" s="1" t="s">
        <v>41</v>
      </c>
    </row>
    <row r="11" spans="1:11" s="1" customFormat="1" x14ac:dyDescent="0.3">
      <c r="D11" s="7">
        <f t="shared" si="0"/>
        <v>8181000</v>
      </c>
      <c r="E11" s="4">
        <v>1</v>
      </c>
      <c r="F11" s="4">
        <v>8181000</v>
      </c>
      <c r="G11" s="4">
        <v>4513363</v>
      </c>
      <c r="H11" s="4" t="s">
        <v>44</v>
      </c>
      <c r="I11" s="1">
        <v>1</v>
      </c>
      <c r="J11" s="1" t="s">
        <v>40</v>
      </c>
    </row>
    <row r="12" spans="1:11" s="1" customFormat="1" x14ac:dyDescent="0.3">
      <c r="D12" s="7">
        <f t="shared" si="0"/>
        <v>8036000</v>
      </c>
      <c r="E12" s="4">
        <v>1</v>
      </c>
      <c r="F12" s="4">
        <v>8036000</v>
      </c>
      <c r="G12" s="4">
        <v>4506363</v>
      </c>
      <c r="H12" s="4" t="s">
        <v>49</v>
      </c>
      <c r="I12" s="1">
        <v>1</v>
      </c>
      <c r="J12" s="1" t="s">
        <v>40</v>
      </c>
    </row>
    <row r="13" spans="1:11" x14ac:dyDescent="0.3">
      <c r="D13" s="6">
        <f t="shared" si="0"/>
        <v>0</v>
      </c>
      <c r="E13" s="2"/>
      <c r="F13" s="2"/>
      <c r="G13" s="2" t="s">
        <v>45</v>
      </c>
      <c r="H13" s="2" t="s">
        <v>46</v>
      </c>
      <c r="I13">
        <v>1</v>
      </c>
      <c r="J13" t="s">
        <v>37</v>
      </c>
    </row>
    <row r="14" spans="1:11" x14ac:dyDescent="0.3">
      <c r="D14" s="6">
        <f t="shared" si="0"/>
        <v>0</v>
      </c>
      <c r="E14" s="2"/>
      <c r="F14" s="2"/>
      <c r="G14" s="2" t="s">
        <v>47</v>
      </c>
      <c r="H14" s="2" t="s">
        <v>48</v>
      </c>
      <c r="I14">
        <v>1</v>
      </c>
      <c r="J14" t="s">
        <v>37</v>
      </c>
    </row>
    <row r="15" spans="1:11" x14ac:dyDescent="0.3">
      <c r="D15" s="6">
        <f t="shared" si="0"/>
        <v>1680000</v>
      </c>
      <c r="E15" s="2">
        <v>1</v>
      </c>
      <c r="F15" s="2">
        <v>1680000</v>
      </c>
      <c r="G15" s="2" t="s">
        <v>51</v>
      </c>
      <c r="H15" s="3" t="s">
        <v>52</v>
      </c>
      <c r="I15">
        <v>1</v>
      </c>
      <c r="J15" t="s">
        <v>55</v>
      </c>
    </row>
    <row r="16" spans="1:11" x14ac:dyDescent="0.3">
      <c r="D16" s="6">
        <f t="shared" si="0"/>
        <v>4224000</v>
      </c>
      <c r="E16" s="2">
        <v>1</v>
      </c>
      <c r="F16" s="2">
        <v>4224000</v>
      </c>
      <c r="G16" s="2" t="s">
        <v>53</v>
      </c>
      <c r="H16" s="3" t="s">
        <v>54</v>
      </c>
      <c r="I16">
        <v>1</v>
      </c>
      <c r="J16" t="s">
        <v>55</v>
      </c>
    </row>
    <row r="17" spans="4:8" x14ac:dyDescent="0.3">
      <c r="D17" s="7">
        <f>SUM(D6:D16)</f>
        <v>62578000</v>
      </c>
      <c r="E17" s="2"/>
      <c r="F17" s="2"/>
      <c r="G17" s="2"/>
      <c r="H17" s="2"/>
    </row>
    <row r="19" spans="4:8" x14ac:dyDescent="0.3">
      <c r="D19" s="5" t="s">
        <v>30</v>
      </c>
      <c r="F19" t="s">
        <v>31</v>
      </c>
    </row>
    <row r="20" spans="4:8" x14ac:dyDescent="0.3">
      <c r="D20" s="5" t="s">
        <v>32</v>
      </c>
      <c r="F20" t="s">
        <v>29</v>
      </c>
    </row>
    <row r="21" spans="4:8" x14ac:dyDescent="0.3">
      <c r="D21" s="5" t="s">
        <v>14</v>
      </c>
    </row>
    <row r="22" spans="4:8" x14ac:dyDescent="0.3">
      <c r="D22" s="5" t="s">
        <v>16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8335B37F2A8342B18C4C1E14089954" ma:contentTypeVersion="15" ma:contentTypeDescription="Create a new document." ma:contentTypeScope="" ma:versionID="f4dfe541711e9af351d4d3f0d5c8c664">
  <xsd:schema xmlns:xsd="http://www.w3.org/2001/XMLSchema" xmlns:xs="http://www.w3.org/2001/XMLSchema" xmlns:p="http://schemas.microsoft.com/office/2006/metadata/properties" xmlns:ns3="7809ce45-933a-42ec-b082-999e8f13edad" xmlns:ns4="013376d6-b8a7-49c8-8cdc-3b2ddc70a8d2" targetNamespace="http://schemas.microsoft.com/office/2006/metadata/properties" ma:root="true" ma:fieldsID="a10f5098c789eb96d101417e485c2f15" ns3:_="" ns4:_="">
    <xsd:import namespace="7809ce45-933a-42ec-b082-999e8f13edad"/>
    <xsd:import namespace="013376d6-b8a7-49c8-8cdc-3b2ddc70a8d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9ce45-933a-42ec-b082-999e8f13ed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376d6-b8a7-49c8-8cdc-3b2ddc70a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3376d6-b8a7-49c8-8cdc-3b2ddc70a8d2" xsi:nil="true"/>
  </documentManagement>
</p:properties>
</file>

<file path=customXml/itemProps1.xml><?xml version="1.0" encoding="utf-8"?>
<ds:datastoreItem xmlns:ds="http://schemas.openxmlformats.org/officeDocument/2006/customXml" ds:itemID="{2FDDA7BE-17A9-4409-8F7E-F38735ED4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9ce45-933a-42ec-b082-999e8f13edad"/>
    <ds:schemaRef ds:uri="013376d6-b8a7-49c8-8cdc-3b2ddc70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45978D-A4A2-4F8F-8F89-DA61B7E8F1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4C1901-1F66-4A97-8FE6-405B66A9ABDB}">
  <ds:schemaRefs>
    <ds:schemaRef ds:uri="http://purl.org/dc/elements/1.1/"/>
    <ds:schemaRef ds:uri="http://purl.org/dc/dcmitype/"/>
    <ds:schemaRef ds:uri="7809ce45-933a-42ec-b082-999e8f13edad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013376d6-b8a7-49c8-8cdc-3b2ddc70a8d2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Pham</dc:creator>
  <cp:lastModifiedBy>Khang</cp:lastModifiedBy>
  <dcterms:created xsi:type="dcterms:W3CDTF">2023-03-15T08:06:52Z</dcterms:created>
  <dcterms:modified xsi:type="dcterms:W3CDTF">2023-04-18T13:41:02Z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0x010100578335B37F2A8342B18C4C1E14089954</vt:lpwstr>
  </property>
</Properties>
</file>